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Budg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Mensuel : nombre d'unités par mois. Annuel / unique : nombre d'unités achetées dans la phase.</t>
        </r>
      </text>
    </comment>
  </commentList>
</comments>
</file>

<file path=xl/sharedStrings.xml><?xml version="1.0" encoding="utf-8"?>
<sst xmlns="http://schemas.openxmlformats.org/spreadsheetml/2006/main" count="210" uniqueCount="106">
  <si>
    <t xml:space="preserve">Budget prévisionnel de l'app Tic</t>
  </si>
  <si>
    <t xml:space="preserve">Hors droits d'auteur et main d'œuvre. Montants en euros TTC estimés.</t>
  </si>
  <si>
    <t xml:space="preserve">Catégorie</t>
  </si>
  <si>
    <t xml:space="preserve">Phase 1 : MVP</t>
  </si>
  <si>
    <t xml:space="preserve">Phase 2 : lancement</t>
  </si>
  <si>
    <t xml:space="preserve">Total</t>
  </si>
  <si>
    <t xml:space="preserve">Juridique &amp; administratif</t>
  </si>
  <si>
    <t xml:space="preserve">Stores &amp; comptes</t>
  </si>
  <si>
    <t xml:space="preserve">Matériel de test</t>
  </si>
  <si>
    <t xml:space="preserve">Technique &amp; hébergement</t>
  </si>
  <si>
    <t xml:space="preserve">Contenu (hors droits)</t>
  </si>
  <si>
    <t xml:space="preserve">Tests utilisateurs</t>
  </si>
  <si>
    <t xml:space="preserve">Marketing &amp; acquisition</t>
  </si>
  <si>
    <t xml:space="preserve">Imprévus</t>
  </si>
  <si>
    <t xml:space="preserve">TOTAL</t>
  </si>
  <si>
    <t xml:space="preserve">Coût mensuel moyen, phase 2</t>
  </si>
  <si>
    <t xml:space="preserve">Durée des phases (mois)</t>
  </si>
  <si>
    <t xml:space="preserve">Hypothèses du budget</t>
  </si>
  <si>
    <t xml:space="preserve">Cellules en bleu = valeurs à ajuster. Tout le reste du classeur se recalcule.</t>
  </si>
  <si>
    <t xml:space="preserve">Durée phase 1 : MVP (mois)</t>
  </si>
  <si>
    <t xml:space="preserve">Développement + tests utilisateurs, avant la sortie publique.</t>
  </si>
  <si>
    <t xml:space="preserve">Durée phase 2 : lancement (mois)</t>
  </si>
  <si>
    <t xml:space="preserve">Première année après la sortie sur les stores.</t>
  </si>
  <si>
    <t xml:space="preserve">Taux de change (€ pour 1 $)</t>
  </si>
  <si>
    <t xml:space="preserve">Hypothèse à mettre à jour avec le cours du jour ; sert aux services facturés en dollars.</t>
  </si>
  <si>
    <t xml:space="preserve">Marge pour imprévus</t>
  </si>
  <si>
    <t xml:space="preserve">Pratique courante : 10 à 15 % du sous-total.</t>
  </si>
  <si>
    <t xml:space="preserve">Exclus de ce budget (à la demande) : droits d'auteur et licences musicales, main d'œuvre de l'équipe (salaires, rémunération des fondateurs).</t>
  </si>
  <si>
    <t xml:space="preserve">Hypothèse : l'équipe dispose déjà de ses ordinateurs (dont un Mac pour compiler l'app iOS).</t>
  </si>
  <si>
    <t xml:space="preserve">Poste</t>
  </si>
  <si>
    <t xml:space="preserve">Coût unitaire</t>
  </si>
  <si>
    <t xml:space="preserve">Devise</t>
  </si>
  <si>
    <t xml:space="preserve">Fréquence</t>
  </si>
  <si>
    <t xml:space="preserve">Qté phase 1</t>
  </si>
  <si>
    <t xml:space="preserve">Qté phase 2</t>
  </si>
  <si>
    <t xml:space="preserve">Coût phase 1 (€)</t>
  </si>
  <si>
    <t xml:space="preserve">Coût phase 2 (€)</t>
  </si>
  <si>
    <t xml:space="preserve">Total (€)</t>
  </si>
  <si>
    <t xml:space="preserve">Source / hypothèse</t>
  </si>
  <si>
    <t xml:space="preserve">Création de la société (SAS, annonce légale, greffe)</t>
  </si>
  <si>
    <t xml:space="preserve">€</t>
  </si>
  <si>
    <t xml:space="preserve">Unique</t>
  </si>
  <si>
    <t xml:space="preserve">Estimation via une plateforme juridique en ligne.</t>
  </si>
  <si>
    <t xml:space="preserve">Dépôt de marque INPI, 1re classe (classe 9, logiciels)</t>
  </si>
  <si>
    <t xml:space="preserve">INPI : 190 € pour une classe (legalstart.fr).</t>
  </si>
  <si>
    <t xml:space="preserve">Classe supplémentaire (classe 41, enseignement)</t>
  </si>
  <si>
    <t xml:space="preserve">INPI : 40 € par classe supplémentaire (legalstart.fr).</t>
  </si>
  <si>
    <t xml:space="preserve">Rédaction CGU, CGV et politique de confidentialité (RGPD)</t>
  </si>
  <si>
    <t xml:space="preserve">Estimation : forfait avocat ou plateforme juridique.</t>
  </si>
  <si>
    <t xml:space="preserve">Assurance responsabilité civile professionnelle</t>
  </si>
  <si>
    <t xml:space="preserve">Mensuel</t>
  </si>
  <si>
    <t xml:space="preserve">Estimation pour une jeune entreprise du numérique.</t>
  </si>
  <si>
    <t xml:space="preserve">Expert-comptable en ligne</t>
  </si>
  <si>
    <t xml:space="preserve">Estimation, offre en ligne pour SAS sans salarié.</t>
  </si>
  <si>
    <t xml:space="preserve">Compte bancaire professionnel</t>
  </si>
  <si>
    <t xml:space="preserve">Estimation, banque en ligne.</t>
  </si>
  <si>
    <t xml:space="preserve">Apple Developer Program</t>
  </si>
  <si>
    <t xml:space="preserve">$</t>
  </si>
  <si>
    <t xml:space="preserve">Annuel</t>
  </si>
  <si>
    <t xml:space="preserve">99 $/an (ilab.md, 2026).</t>
  </si>
  <si>
    <t xml:space="preserve">Compte développeur Google Play</t>
  </si>
  <si>
    <t xml:space="preserve">25 $ une seule fois (ilab.md, 2026).</t>
  </si>
  <si>
    <t xml:space="preserve">Nom de domaine</t>
  </si>
  <si>
    <t xml:space="preserve">Estimation, .fr ou .app.</t>
  </si>
  <si>
    <t xml:space="preserve">Messagerie pro (par utilisateur)</t>
  </si>
  <si>
    <t xml:space="preserve">Estimation, 2 comptes.</t>
  </si>
  <si>
    <t xml:space="preserve">Clavier MIDI 61 touches</t>
  </si>
  <si>
    <t xml:space="preserve">Estimation, modèle d'entrée de gamme.</t>
  </si>
  <si>
    <t xml:space="preserve">Adaptateurs et câbles USB-MIDI</t>
  </si>
  <si>
    <t xml:space="preserve">Estimation.</t>
  </si>
  <si>
    <t xml:space="preserve">iPhone de test reconditionné</t>
  </si>
  <si>
    <t xml:space="preserve">Smartphone Android de test</t>
  </si>
  <si>
    <t xml:space="preserve">Estimation, entrée de gamme.</t>
  </si>
  <si>
    <t xml:space="preserve">Guitare d'étude (préparation V2 guitare)</t>
  </si>
  <si>
    <t xml:space="preserve">Estimation ; achat en phase 2.</t>
  </si>
  <si>
    <t xml:space="preserve">Backend Supabase (base, comptes, stockage)</t>
  </si>
  <si>
    <t xml:space="preserve">Gratuit en phase 1 ; plan Pro 25 $/mois ensuite (makerkit.dev, 2026).</t>
  </si>
  <si>
    <t xml:space="preserve">Stockage et diffusion des fichiers audio (CDN)</t>
  </si>
  <si>
    <t xml:space="preserve">Estimation, accompagnements et partitions.</t>
  </si>
  <si>
    <t xml:space="preserve">IA : génération des parcours et transcriptions</t>
  </si>
  <si>
    <t xml:space="preserve">Estimation, volume de tests en phase 1.</t>
  </si>
  <si>
    <t xml:space="preserve">IA : génération des parcours et transcriptions (production)</t>
  </si>
  <si>
    <t xml:space="preserve">Estimation, dépend du nombre d'utilisateurs.</t>
  </si>
  <si>
    <t xml:space="preserve">Service de compilation et publication de l'app</t>
  </si>
  <si>
    <t xml:space="preserve">Tarif indicatif d'un service de build mobile, à vérifier.</t>
  </si>
  <si>
    <t xml:space="preserve">Suivi des erreurs (crash reporting)</t>
  </si>
  <si>
    <t xml:space="preserve">Gratuit en phase 1 ; tarif indicatif d'un plan équipe, à vérifier.</t>
  </si>
  <si>
    <t xml:space="preserve">Gestion des abonnements (RevenueCat)</t>
  </si>
  <si>
    <t xml:space="preserve">Gratuit jusqu'à 2 500 $ de revenus suivis par mois, puis 1 % (dodopayments.com).</t>
  </si>
  <si>
    <t xml:space="preserve">Banque de sons de piano (licence de samples)</t>
  </si>
  <si>
    <t xml:space="preserve">Estimation, licence commerciale.</t>
  </si>
  <si>
    <t xml:space="preserve">Outil de design (1 éditeur)</t>
  </si>
  <si>
    <t xml:space="preserve">Tarif indicatif, à vérifier.</t>
  </si>
  <si>
    <t xml:space="preserve">Micro et interface audio (enregistrer les accompagnements)</t>
  </si>
  <si>
    <t xml:space="preserve">Location de studio ponctuelle</t>
  </si>
  <si>
    <t xml:space="preserve">Estimation, 2 sessions pour les morceaux phares.</t>
  </si>
  <si>
    <t xml:space="preserve">Bons cadeaux pour testeurs</t>
  </si>
  <si>
    <t xml:space="preserve">Hypothèse : 15 testeurs en phase 1, 10 en phase 2.</t>
  </si>
  <si>
    <t xml:space="preserve">Site vitrine (hébergement et outil)</t>
  </si>
  <si>
    <t xml:space="preserve">Publicités TikTok / Instagram (tests)</t>
  </si>
  <si>
    <t xml:space="preserve">Hypothèse : test de messages avant lancement.</t>
  </si>
  <si>
    <t xml:space="preserve">Publicités TikTok / Instagram (lancement)</t>
  </si>
  <si>
    <t xml:space="preserve">Hypothèse, à ajuster selon le coût d'acquisition mesuré.</t>
  </si>
  <si>
    <t xml:space="preserve">Goodies et stickers Tic</t>
  </si>
  <si>
    <t xml:space="preserve">Estimation, événements et partenaires.</t>
  </si>
  <si>
    <t xml:space="preserve">Sous-total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</si>
</sst>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General"/>
    <numFmt numFmtId="167" formatCode="0.00"/>
    <numFmt numFmtId="168" formatCode="0%"/>
    <numFmt numFmtId="169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2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55555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D3A"/>
        <bgColor rgb="FF333300"/>
      </patternFill>
    </fill>
    <fill>
      <patternFill patternType="solid">
        <fgColor rgb="FFF3DFC2"/>
        <bgColor rgb="FFFFE0CF"/>
      </patternFill>
    </fill>
    <fill>
      <patternFill patternType="solid">
        <fgColor rgb="FFFFFF00"/>
        <bgColor rgb="FFFFFF00"/>
      </patternFill>
    </fill>
    <fill>
      <patternFill patternType="solid">
        <fgColor rgb="FFFFE0CF"/>
        <bgColor rgb="FFF3DFC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C3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3A3"/>
      <rgbColor rgb="FF808080"/>
      <rgbColor rgb="FF9999FF"/>
      <rgbColor rgb="FF993366"/>
      <rgbColor rgb="FFFFE0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DFC2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SUMIFS(Budget!$H$2:$H$40,Budget!$A$2:$A$40,$A5)</f>
        <v>2640</v>
      </c>
      <c r="C5" s="6" t="n">
        <f aca="false">SUMIFS(Budget!$I$2:$I$40,Budget!$A$2:$A$40,$A5)</f>
        <v>1320</v>
      </c>
      <c r="D5" s="7" t="n">
        <f aca="false">B5+C5</f>
        <v>3960</v>
      </c>
    </row>
    <row r="6" customFormat="false" ht="15" hidden="false" customHeight="false" outlineLevel="0" collapsed="false">
      <c r="A6" s="5" t="s">
        <v>7</v>
      </c>
      <c r="B6" s="6" t="n">
        <f aca="false">SUMIFS(Budget!$H$2:$H$40,Budget!$A$2:$A$40,$A6)</f>
        <v>205.64</v>
      </c>
      <c r="C6" s="6" t="n">
        <f aca="false">SUMIFS(Budget!$I$2:$I$40,Budget!$A$2:$A$40,$A6)</f>
        <v>268.14</v>
      </c>
      <c r="D6" s="7" t="n">
        <f aca="false">B6+C6</f>
        <v>473.78</v>
      </c>
    </row>
    <row r="7" customFormat="false" ht="15" hidden="false" customHeight="false" outlineLevel="0" collapsed="false">
      <c r="A7" s="5" t="s">
        <v>8</v>
      </c>
      <c r="B7" s="6" t="n">
        <f aca="false">SUMIFS(Budget!$H$2:$H$40,Budget!$A$2:$A$40,$A7)</f>
        <v>940</v>
      </c>
      <c r="C7" s="6" t="n">
        <f aca="false">SUMIFS(Budget!$I$2:$I$40,Budget!$A$2:$A$40,$A7)</f>
        <v>200</v>
      </c>
      <c r="D7" s="7" t="n">
        <f aca="false">B7+C7</f>
        <v>1140</v>
      </c>
    </row>
    <row r="8" customFormat="false" ht="15" hidden="false" customHeight="false" outlineLevel="0" collapsed="false">
      <c r="A8" s="5" t="s">
        <v>9</v>
      </c>
      <c r="B8" s="6" t="n">
        <f aca="false">SUMIFS(Budget!$H$2:$H$40,Budget!$A$2:$A$40,$A8)</f>
        <v>588.04</v>
      </c>
      <c r="C8" s="6" t="n">
        <f aca="false">SUMIFS(Budget!$I$2:$I$40,Budget!$A$2:$A$40,$A8)</f>
        <v>4622.4</v>
      </c>
      <c r="D8" s="7" t="n">
        <f aca="false">B8+C8</f>
        <v>5210.44</v>
      </c>
    </row>
    <row r="9" customFormat="false" ht="15" hidden="false" customHeight="false" outlineLevel="0" collapsed="false">
      <c r="A9" s="5" t="s">
        <v>10</v>
      </c>
      <c r="B9" s="6" t="n">
        <f aca="false">SUMIFS(Budget!$H$2:$H$40,Budget!$A$2:$A$40,$A9)</f>
        <v>300</v>
      </c>
      <c r="C9" s="6" t="n">
        <f aca="false">SUMIFS(Budget!$I$2:$I$40,Budget!$A$2:$A$40,$A9)</f>
        <v>500</v>
      </c>
      <c r="D9" s="7" t="n">
        <f aca="false">B9+C9</f>
        <v>800</v>
      </c>
    </row>
    <row r="10" customFormat="false" ht="15" hidden="false" customHeight="false" outlineLevel="0" collapsed="false">
      <c r="A10" s="5" t="s">
        <v>11</v>
      </c>
      <c r="B10" s="6" t="n">
        <f aca="false">SUMIFS(Budget!$H$2:$H$40,Budget!$A$2:$A$40,$A10)</f>
        <v>300</v>
      </c>
      <c r="C10" s="6" t="n">
        <f aca="false">SUMIFS(Budget!$I$2:$I$40,Budget!$A$2:$A$40,$A10)</f>
        <v>200</v>
      </c>
      <c r="D10" s="7" t="n">
        <f aca="false">B10+C10</f>
        <v>500</v>
      </c>
    </row>
    <row r="11" customFormat="false" ht="15" hidden="false" customHeight="false" outlineLevel="0" collapsed="false">
      <c r="A11" s="5" t="s">
        <v>12</v>
      </c>
      <c r="B11" s="6" t="n">
        <f aca="false">SUMIFS(Budget!$H$2:$H$40,Budget!$A$2:$A$40,$A11)</f>
        <v>390</v>
      </c>
      <c r="C11" s="6" t="n">
        <f aca="false">SUMIFS(Budget!$I$2:$I$40,Budget!$A$2:$A$40,$A11)</f>
        <v>6380</v>
      </c>
      <c r="D11" s="7" t="n">
        <f aca="false">B11+C11</f>
        <v>6770</v>
      </c>
    </row>
    <row r="12" customFormat="false" ht="15" hidden="false" customHeight="false" outlineLevel="0" collapsed="false">
      <c r="A12" s="5" t="s">
        <v>13</v>
      </c>
      <c r="B12" s="6" t="n">
        <f aca="false">Budget!H43</f>
        <v>536.368</v>
      </c>
      <c r="C12" s="6" t="n">
        <f aca="false">Budget!I43</f>
        <v>1349.054</v>
      </c>
      <c r="D12" s="8" t="n">
        <f aca="false">B12+C12</f>
        <v>1885.422</v>
      </c>
    </row>
    <row r="13" customFormat="false" ht="15" hidden="false" customHeight="false" outlineLevel="0" collapsed="false">
      <c r="A13" s="9" t="s">
        <v>14</v>
      </c>
      <c r="B13" s="10" t="n">
        <f aca="false">SUM(B5:B12)</f>
        <v>5900.048</v>
      </c>
      <c r="C13" s="10" t="n">
        <f aca="false">SUM(C5:C12)</f>
        <v>14839.594</v>
      </c>
      <c r="D13" s="10" t="n">
        <f aca="false">SUM(D5:D12)</f>
        <v>20739.642</v>
      </c>
    </row>
    <row r="14" customFormat="false" ht="15" hidden="false" customHeight="false" outlineLevel="0" collapsed="false">
      <c r="A14" s="2"/>
      <c r="B14" s="2"/>
      <c r="C14" s="2"/>
      <c r="D14" s="2"/>
    </row>
    <row r="15" customFormat="false" ht="15" hidden="false" customHeight="false" outlineLevel="0" collapsed="false">
      <c r="A15" s="11" t="s">
        <v>15</v>
      </c>
      <c r="B15" s="8" t="n">
        <f aca="false">C13/Hypothèses!$B$5</f>
        <v>1236.63283333333</v>
      </c>
      <c r="C15" s="2"/>
      <c r="D15" s="2"/>
    </row>
    <row r="16" customFormat="false" ht="15" hidden="false" customHeight="false" outlineLevel="0" collapsed="false">
      <c r="A16" s="11" t="s">
        <v>16</v>
      </c>
      <c r="B16" s="12" t="n">
        <f aca="false">Hypothèses!$B$4</f>
        <v>6</v>
      </c>
      <c r="C16" s="12" t="n">
        <f aca="false">Hypothèses!$B$5</f>
        <v>12</v>
      </c>
      <c r="D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17</v>
      </c>
      <c r="B1" s="2"/>
      <c r="C1" s="2"/>
    </row>
    <row r="2" customFormat="false" ht="15" hidden="false" customHeight="false" outlineLevel="0" collapsed="false">
      <c r="A2" s="3" t="s">
        <v>18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1" t="s">
        <v>19</v>
      </c>
      <c r="B4" s="13" t="n">
        <v>6</v>
      </c>
      <c r="C4" s="14" t="s">
        <v>20</v>
      </c>
    </row>
    <row r="5" customFormat="false" ht="15" hidden="false" customHeight="false" outlineLevel="0" collapsed="false">
      <c r="A5" s="11" t="s">
        <v>21</v>
      </c>
      <c r="B5" s="13" t="n">
        <v>12</v>
      </c>
      <c r="C5" s="14" t="s">
        <v>22</v>
      </c>
    </row>
    <row r="6" customFormat="false" ht="15" hidden="false" customHeight="false" outlineLevel="0" collapsed="false">
      <c r="A6" s="11" t="s">
        <v>23</v>
      </c>
      <c r="B6" s="15" t="n">
        <v>0.86</v>
      </c>
      <c r="C6" s="14" t="s">
        <v>24</v>
      </c>
    </row>
    <row r="7" customFormat="false" ht="15" hidden="false" customHeight="false" outlineLevel="0" collapsed="false">
      <c r="A7" s="11" t="s">
        <v>25</v>
      </c>
      <c r="B7" s="16" t="n">
        <v>0.1</v>
      </c>
      <c r="C7" s="14" t="s">
        <v>26</v>
      </c>
    </row>
    <row r="8" customFormat="false" ht="15" hidden="false" customHeight="false" outlineLevel="0" collapsed="false">
      <c r="A8" s="2"/>
      <c r="B8" s="2"/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17" t="s">
        <v>27</v>
      </c>
      <c r="B10" s="2"/>
      <c r="C10" s="2"/>
    </row>
    <row r="11" customFormat="false" ht="15" hidden="false" customHeight="false" outlineLevel="0" collapsed="false">
      <c r="A11" s="17" t="s">
        <v>28</v>
      </c>
      <c r="B11" s="2"/>
      <c r="C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1" min="11" style="0" width="70"/>
  </cols>
  <sheetData>
    <row r="1" customFormat="false" ht="31.5" hidden="false" customHeight="true" outlineLevel="0" collapsed="false">
      <c r="A1" s="18" t="s">
        <v>2</v>
      </c>
      <c r="B1" s="18" t="s">
        <v>29</v>
      </c>
      <c r="C1" s="18" t="s">
        <v>30</v>
      </c>
      <c r="D1" s="18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</row>
    <row r="2" customFormat="false" ht="15" hidden="false" customHeight="false" outlineLevel="0" collapsed="false">
      <c r="A2" s="19" t="s">
        <v>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15" hidden="false" customHeight="false" outlineLevel="0" collapsed="false">
      <c r="A3" s="21" t="s">
        <v>6</v>
      </c>
      <c r="B3" s="22" t="s">
        <v>39</v>
      </c>
      <c r="C3" s="23" t="n">
        <v>250</v>
      </c>
      <c r="D3" s="24" t="s">
        <v>40</v>
      </c>
      <c r="E3" s="24" t="s">
        <v>41</v>
      </c>
      <c r="F3" s="24" t="n">
        <v>1</v>
      </c>
      <c r="G3" s="24" t="n">
        <v>0</v>
      </c>
      <c r="H3" s="25" t="n">
        <f aca="false">$C3*IF($D3="$",Hypothèses!$B$6,1)*$F3*IF($E3="Mensuel",Hypothèses!$B$4,IF($E3="Annuel",ROUNDUP(Hypothèses!$B$4/12,0),1))</f>
        <v>250</v>
      </c>
      <c r="I3" s="25" t="n">
        <f aca="false">$C3*IF($D3="$",Hypothèses!$B$6,1)*$G3*IF($E3="Mensuel",Hypothèses!$B$5,IF($E3="Annuel",ROUNDUP(Hypothèses!$B$5/12,0),1))</f>
        <v>0</v>
      </c>
      <c r="J3" s="25" t="n">
        <f aca="false">H3+I3</f>
        <v>250</v>
      </c>
      <c r="K3" s="26" t="s">
        <v>42</v>
      </c>
    </row>
    <row r="4" customFormat="false" ht="15" hidden="false" customHeight="false" outlineLevel="0" collapsed="false">
      <c r="A4" s="21" t="s">
        <v>6</v>
      </c>
      <c r="B4" s="22" t="s">
        <v>43</v>
      </c>
      <c r="C4" s="23" t="n">
        <v>190</v>
      </c>
      <c r="D4" s="24" t="s">
        <v>40</v>
      </c>
      <c r="E4" s="24" t="s">
        <v>41</v>
      </c>
      <c r="F4" s="24" t="n">
        <v>1</v>
      </c>
      <c r="G4" s="24" t="n">
        <v>0</v>
      </c>
      <c r="H4" s="25" t="n">
        <f aca="false">$C4*IF($D4="$",Hypothèses!$B$6,1)*$F4*IF($E4="Mensuel",Hypothèses!$B$4,IF($E4="Annuel",ROUNDUP(Hypothèses!$B$4/12,0),1))</f>
        <v>190</v>
      </c>
      <c r="I4" s="25" t="n">
        <f aca="false">$C4*IF($D4="$",Hypothèses!$B$6,1)*$G4*IF($E4="Mensuel",Hypothèses!$B$5,IF($E4="Annuel",ROUNDUP(Hypothèses!$B$5/12,0),1))</f>
        <v>0</v>
      </c>
      <c r="J4" s="25" t="n">
        <f aca="false">H4+I4</f>
        <v>190</v>
      </c>
      <c r="K4" s="26" t="s">
        <v>44</v>
      </c>
    </row>
    <row r="5" customFormat="false" ht="15" hidden="false" customHeight="false" outlineLevel="0" collapsed="false">
      <c r="A5" s="21" t="s">
        <v>6</v>
      </c>
      <c r="B5" s="22" t="s">
        <v>45</v>
      </c>
      <c r="C5" s="23" t="n">
        <v>40</v>
      </c>
      <c r="D5" s="24" t="s">
        <v>40</v>
      </c>
      <c r="E5" s="24" t="s">
        <v>41</v>
      </c>
      <c r="F5" s="24" t="n">
        <v>1</v>
      </c>
      <c r="G5" s="24" t="n">
        <v>0</v>
      </c>
      <c r="H5" s="25" t="n">
        <f aca="false">$C5*IF($D5="$",Hypothèses!$B$6,1)*$F5*IF($E5="Mensuel",Hypothèses!$B$4,IF($E5="Annuel",ROUNDUP(Hypothèses!$B$4/12,0),1))</f>
        <v>40</v>
      </c>
      <c r="I5" s="25" t="n">
        <f aca="false">$C5*IF($D5="$",Hypothèses!$B$6,1)*$G5*IF($E5="Mensuel",Hypothèses!$B$5,IF($E5="Annuel",ROUNDUP(Hypothèses!$B$5/12,0),1))</f>
        <v>0</v>
      </c>
      <c r="J5" s="25" t="n">
        <f aca="false">H5+I5</f>
        <v>40</v>
      </c>
      <c r="K5" s="26" t="s">
        <v>46</v>
      </c>
    </row>
    <row r="6" customFormat="false" ht="15" hidden="false" customHeight="false" outlineLevel="0" collapsed="false">
      <c r="A6" s="21" t="s">
        <v>6</v>
      </c>
      <c r="B6" s="22" t="s">
        <v>47</v>
      </c>
      <c r="C6" s="23" t="n">
        <v>1500</v>
      </c>
      <c r="D6" s="24" t="s">
        <v>40</v>
      </c>
      <c r="E6" s="24" t="s">
        <v>41</v>
      </c>
      <c r="F6" s="24" t="n">
        <v>1</v>
      </c>
      <c r="G6" s="24" t="n">
        <v>0</v>
      </c>
      <c r="H6" s="25" t="n">
        <f aca="false">$C6*IF($D6="$",Hypothèses!$B$6,1)*$F6*IF($E6="Mensuel",Hypothèses!$B$4,IF($E6="Annuel",ROUNDUP(Hypothèses!$B$4/12,0),1))</f>
        <v>1500</v>
      </c>
      <c r="I6" s="25" t="n">
        <f aca="false">$C6*IF($D6="$",Hypothèses!$B$6,1)*$G6*IF($E6="Mensuel",Hypothèses!$B$5,IF($E6="Annuel",ROUNDUP(Hypothèses!$B$5/12,0),1))</f>
        <v>0</v>
      </c>
      <c r="J6" s="25" t="n">
        <f aca="false">H6+I6</f>
        <v>1500</v>
      </c>
      <c r="K6" s="26" t="s">
        <v>48</v>
      </c>
    </row>
    <row r="7" customFormat="false" ht="15" hidden="false" customHeight="false" outlineLevel="0" collapsed="false">
      <c r="A7" s="21" t="s">
        <v>6</v>
      </c>
      <c r="B7" s="22" t="s">
        <v>49</v>
      </c>
      <c r="C7" s="23" t="n">
        <v>35</v>
      </c>
      <c r="D7" s="24" t="s">
        <v>40</v>
      </c>
      <c r="E7" s="24" t="s">
        <v>50</v>
      </c>
      <c r="F7" s="24" t="n">
        <v>1</v>
      </c>
      <c r="G7" s="24" t="n">
        <v>1</v>
      </c>
      <c r="H7" s="25" t="n">
        <f aca="false">$C7*IF($D7="$",Hypothèses!$B$6,1)*$F7*IF($E7="Mensuel",Hypothèses!$B$4,IF($E7="Annuel",ROUNDUP(Hypothèses!$B$4/12,0),1))</f>
        <v>210</v>
      </c>
      <c r="I7" s="25" t="n">
        <f aca="false">$C7*IF($D7="$",Hypothèses!$B$6,1)*$G7*IF($E7="Mensuel",Hypothèses!$B$5,IF($E7="Annuel",ROUNDUP(Hypothèses!$B$5/12,0),1))</f>
        <v>420</v>
      </c>
      <c r="J7" s="25" t="n">
        <f aca="false">H7+I7</f>
        <v>630</v>
      </c>
      <c r="K7" s="26" t="s">
        <v>51</v>
      </c>
    </row>
    <row r="8" customFormat="false" ht="15" hidden="false" customHeight="false" outlineLevel="0" collapsed="false">
      <c r="A8" s="21" t="s">
        <v>6</v>
      </c>
      <c r="B8" s="22" t="s">
        <v>52</v>
      </c>
      <c r="C8" s="23" t="n">
        <v>60</v>
      </c>
      <c r="D8" s="24" t="s">
        <v>40</v>
      </c>
      <c r="E8" s="24" t="s">
        <v>50</v>
      </c>
      <c r="F8" s="24" t="n">
        <v>1</v>
      </c>
      <c r="G8" s="24" t="n">
        <v>1</v>
      </c>
      <c r="H8" s="25" t="n">
        <f aca="false">$C8*IF($D8="$",Hypothèses!$B$6,1)*$F8*IF($E8="Mensuel",Hypothèses!$B$4,IF($E8="Annuel",ROUNDUP(Hypothèses!$B$4/12,0),1))</f>
        <v>360</v>
      </c>
      <c r="I8" s="25" t="n">
        <f aca="false">$C8*IF($D8="$",Hypothèses!$B$6,1)*$G8*IF($E8="Mensuel",Hypothèses!$B$5,IF($E8="Annuel",ROUNDUP(Hypothèses!$B$5/12,0),1))</f>
        <v>720</v>
      </c>
      <c r="J8" s="25" t="n">
        <f aca="false">H8+I8</f>
        <v>1080</v>
      </c>
      <c r="K8" s="26" t="s">
        <v>53</v>
      </c>
    </row>
    <row r="9" customFormat="false" ht="15" hidden="false" customHeight="false" outlineLevel="0" collapsed="false">
      <c r="A9" s="21" t="s">
        <v>6</v>
      </c>
      <c r="B9" s="22" t="s">
        <v>54</v>
      </c>
      <c r="C9" s="23" t="n">
        <v>15</v>
      </c>
      <c r="D9" s="24" t="s">
        <v>40</v>
      </c>
      <c r="E9" s="24" t="s">
        <v>50</v>
      </c>
      <c r="F9" s="24" t="n">
        <v>1</v>
      </c>
      <c r="G9" s="24" t="n">
        <v>1</v>
      </c>
      <c r="H9" s="25" t="n">
        <f aca="false">$C9*IF($D9="$",Hypothèses!$B$6,1)*$F9*IF($E9="Mensuel",Hypothèses!$B$4,IF($E9="Annuel",ROUNDUP(Hypothèses!$B$4/12,0),1))</f>
        <v>90</v>
      </c>
      <c r="I9" s="25" t="n">
        <f aca="false">$C9*IF($D9="$",Hypothèses!$B$6,1)*$G9*IF($E9="Mensuel",Hypothèses!$B$5,IF($E9="Annuel",ROUNDUP(Hypothèses!$B$5/12,0),1))</f>
        <v>180</v>
      </c>
      <c r="J9" s="25" t="n">
        <f aca="false">H9+I9</f>
        <v>270</v>
      </c>
      <c r="K9" s="26" t="s">
        <v>55</v>
      </c>
    </row>
    <row r="10" customFormat="false" ht="15" hidden="false" customHeight="false" outlineLevel="0" collapsed="false">
      <c r="A10" s="19" t="s">
        <v>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customFormat="false" ht="15" hidden="false" customHeight="false" outlineLevel="0" collapsed="false">
      <c r="A11" s="21" t="s">
        <v>7</v>
      </c>
      <c r="B11" s="22" t="s">
        <v>56</v>
      </c>
      <c r="C11" s="23" t="n">
        <v>99</v>
      </c>
      <c r="D11" s="24" t="s">
        <v>57</v>
      </c>
      <c r="E11" s="24" t="s">
        <v>58</v>
      </c>
      <c r="F11" s="24" t="n">
        <v>1</v>
      </c>
      <c r="G11" s="24" t="n">
        <v>1</v>
      </c>
      <c r="H11" s="25" t="n">
        <f aca="false">$C11*IF($D11="$",Hypothèses!$B$6,1)*$F11*IF($E11="Mensuel",Hypothèses!$B$4,IF($E11="Annuel",ROUNDUP(Hypothèses!$B$4/12,0),1))</f>
        <v>85.14</v>
      </c>
      <c r="I11" s="25" t="n">
        <f aca="false">$C11*IF($D11="$",Hypothèses!$B$6,1)*$G11*IF($E11="Mensuel",Hypothèses!$B$5,IF($E11="Annuel",ROUNDUP(Hypothèses!$B$5/12,0),1))</f>
        <v>85.14</v>
      </c>
      <c r="J11" s="25" t="n">
        <f aca="false">H11+I11</f>
        <v>170.28</v>
      </c>
      <c r="K11" s="26" t="s">
        <v>59</v>
      </c>
    </row>
    <row r="12" customFormat="false" ht="15" hidden="false" customHeight="false" outlineLevel="0" collapsed="false">
      <c r="A12" s="21" t="s">
        <v>7</v>
      </c>
      <c r="B12" s="22" t="s">
        <v>60</v>
      </c>
      <c r="C12" s="23" t="n">
        <v>25</v>
      </c>
      <c r="D12" s="24" t="s">
        <v>57</v>
      </c>
      <c r="E12" s="24" t="s">
        <v>41</v>
      </c>
      <c r="F12" s="24" t="n">
        <v>1</v>
      </c>
      <c r="G12" s="24" t="n">
        <v>0</v>
      </c>
      <c r="H12" s="25" t="n">
        <f aca="false">$C12*IF($D12="$",Hypothèses!$B$6,1)*$F12*IF($E12="Mensuel",Hypothèses!$B$4,IF($E12="Annuel",ROUNDUP(Hypothèses!$B$4/12,0),1))</f>
        <v>21.5</v>
      </c>
      <c r="I12" s="25" t="n">
        <f aca="false">$C12*IF($D12="$",Hypothèses!$B$6,1)*$G12*IF($E12="Mensuel",Hypothèses!$B$5,IF($E12="Annuel",ROUNDUP(Hypothèses!$B$5/12,0),1))</f>
        <v>0</v>
      </c>
      <c r="J12" s="25" t="n">
        <f aca="false">H12+I12</f>
        <v>21.5</v>
      </c>
      <c r="K12" s="26" t="s">
        <v>61</v>
      </c>
    </row>
    <row r="13" customFormat="false" ht="15" hidden="false" customHeight="false" outlineLevel="0" collapsed="false">
      <c r="A13" s="21" t="s">
        <v>7</v>
      </c>
      <c r="B13" s="22" t="s">
        <v>62</v>
      </c>
      <c r="C13" s="23" t="n">
        <v>15</v>
      </c>
      <c r="D13" s="24" t="s">
        <v>40</v>
      </c>
      <c r="E13" s="24" t="s">
        <v>58</v>
      </c>
      <c r="F13" s="24" t="n">
        <v>1</v>
      </c>
      <c r="G13" s="24" t="n">
        <v>1</v>
      </c>
      <c r="H13" s="25" t="n">
        <f aca="false">$C13*IF($D13="$",Hypothèses!$B$6,1)*$F13*IF($E13="Mensuel",Hypothèses!$B$4,IF($E13="Annuel",ROUNDUP(Hypothèses!$B$4/12,0),1))</f>
        <v>15</v>
      </c>
      <c r="I13" s="25" t="n">
        <f aca="false">$C13*IF($D13="$",Hypothèses!$B$6,1)*$G13*IF($E13="Mensuel",Hypothèses!$B$5,IF($E13="Annuel",ROUNDUP(Hypothèses!$B$5/12,0),1))</f>
        <v>15</v>
      </c>
      <c r="J13" s="25" t="n">
        <f aca="false">H13+I13</f>
        <v>30</v>
      </c>
      <c r="K13" s="26" t="s">
        <v>63</v>
      </c>
    </row>
    <row r="14" customFormat="false" ht="15" hidden="false" customHeight="false" outlineLevel="0" collapsed="false">
      <c r="A14" s="21" t="s">
        <v>7</v>
      </c>
      <c r="B14" s="22" t="s">
        <v>64</v>
      </c>
      <c r="C14" s="23" t="n">
        <v>7</v>
      </c>
      <c r="D14" s="24" t="s">
        <v>40</v>
      </c>
      <c r="E14" s="24" t="s">
        <v>50</v>
      </c>
      <c r="F14" s="24" t="n">
        <v>2</v>
      </c>
      <c r="G14" s="24" t="n">
        <v>2</v>
      </c>
      <c r="H14" s="25" t="n">
        <f aca="false">$C14*IF($D14="$",Hypothèses!$B$6,1)*$F14*IF($E14="Mensuel",Hypothèses!$B$4,IF($E14="Annuel",ROUNDUP(Hypothèses!$B$4/12,0),1))</f>
        <v>84</v>
      </c>
      <c r="I14" s="25" t="n">
        <f aca="false">$C14*IF($D14="$",Hypothèses!$B$6,1)*$G14*IF($E14="Mensuel",Hypothèses!$B$5,IF($E14="Annuel",ROUNDUP(Hypothèses!$B$5/12,0),1))</f>
        <v>168</v>
      </c>
      <c r="J14" s="25" t="n">
        <f aca="false">H14+I14</f>
        <v>252</v>
      </c>
      <c r="K14" s="26" t="s">
        <v>65</v>
      </c>
    </row>
    <row r="15" customFormat="false" ht="15" hidden="false" customHeight="false" outlineLevel="0" collapsed="false">
      <c r="A15" s="19" t="s">
        <v>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customFormat="false" ht="15" hidden="false" customHeight="false" outlineLevel="0" collapsed="false">
      <c r="A16" s="21" t="s">
        <v>8</v>
      </c>
      <c r="B16" s="22" t="s">
        <v>66</v>
      </c>
      <c r="C16" s="23" t="n">
        <v>150</v>
      </c>
      <c r="D16" s="24" t="s">
        <v>40</v>
      </c>
      <c r="E16" s="24" t="s">
        <v>41</v>
      </c>
      <c r="F16" s="24" t="n">
        <v>2</v>
      </c>
      <c r="G16" s="24" t="n">
        <v>0</v>
      </c>
      <c r="H16" s="25" t="n">
        <f aca="false">$C16*IF($D16="$",Hypothèses!$B$6,1)*$F16*IF($E16="Mensuel",Hypothèses!$B$4,IF($E16="Annuel",ROUNDUP(Hypothèses!$B$4/12,0),1))</f>
        <v>300</v>
      </c>
      <c r="I16" s="25" t="n">
        <f aca="false">$C16*IF($D16="$",Hypothèses!$B$6,1)*$G16*IF($E16="Mensuel",Hypothèses!$B$5,IF($E16="Annuel",ROUNDUP(Hypothèses!$B$5/12,0),1))</f>
        <v>0</v>
      </c>
      <c r="J16" s="25" t="n">
        <f aca="false">H16+I16</f>
        <v>300</v>
      </c>
      <c r="K16" s="26" t="s">
        <v>67</v>
      </c>
    </row>
    <row r="17" customFormat="false" ht="15" hidden="false" customHeight="false" outlineLevel="0" collapsed="false">
      <c r="A17" s="21" t="s">
        <v>8</v>
      </c>
      <c r="B17" s="22" t="s">
        <v>68</v>
      </c>
      <c r="C17" s="23" t="n">
        <v>30</v>
      </c>
      <c r="D17" s="24" t="s">
        <v>40</v>
      </c>
      <c r="E17" s="24" t="s">
        <v>41</v>
      </c>
      <c r="F17" s="24" t="n">
        <v>3</v>
      </c>
      <c r="G17" s="24" t="n">
        <v>0</v>
      </c>
      <c r="H17" s="25" t="n">
        <f aca="false">$C17*IF($D17="$",Hypothèses!$B$6,1)*$F17*IF($E17="Mensuel",Hypothèses!$B$4,IF($E17="Annuel",ROUNDUP(Hypothèses!$B$4/12,0),1))</f>
        <v>90</v>
      </c>
      <c r="I17" s="25" t="n">
        <f aca="false">$C17*IF($D17="$",Hypothèses!$B$6,1)*$G17*IF($E17="Mensuel",Hypothèses!$B$5,IF($E17="Annuel",ROUNDUP(Hypothèses!$B$5/12,0),1))</f>
        <v>0</v>
      </c>
      <c r="J17" s="25" t="n">
        <f aca="false">H17+I17</f>
        <v>90</v>
      </c>
      <c r="K17" s="26" t="s">
        <v>69</v>
      </c>
    </row>
    <row r="18" customFormat="false" ht="15" hidden="false" customHeight="false" outlineLevel="0" collapsed="false">
      <c r="A18" s="21" t="s">
        <v>8</v>
      </c>
      <c r="B18" s="22" t="s">
        <v>70</v>
      </c>
      <c r="C18" s="23" t="n">
        <v>350</v>
      </c>
      <c r="D18" s="24" t="s">
        <v>40</v>
      </c>
      <c r="E18" s="24" t="s">
        <v>41</v>
      </c>
      <c r="F18" s="24" t="n">
        <v>1</v>
      </c>
      <c r="G18" s="24" t="n">
        <v>0</v>
      </c>
      <c r="H18" s="25" t="n">
        <f aca="false">$C18*IF($D18="$",Hypothèses!$B$6,1)*$F18*IF($E18="Mensuel",Hypothèses!$B$4,IF($E18="Annuel",ROUNDUP(Hypothèses!$B$4/12,0),1))</f>
        <v>350</v>
      </c>
      <c r="I18" s="25" t="n">
        <f aca="false">$C18*IF($D18="$",Hypothèses!$B$6,1)*$G18*IF($E18="Mensuel",Hypothèses!$B$5,IF($E18="Annuel",ROUNDUP(Hypothèses!$B$5/12,0),1))</f>
        <v>0</v>
      </c>
      <c r="J18" s="25" t="n">
        <f aca="false">H18+I18</f>
        <v>350</v>
      </c>
      <c r="K18" s="26" t="s">
        <v>69</v>
      </c>
    </row>
    <row r="19" customFormat="false" ht="15" hidden="false" customHeight="false" outlineLevel="0" collapsed="false">
      <c r="A19" s="21" t="s">
        <v>8</v>
      </c>
      <c r="B19" s="22" t="s">
        <v>71</v>
      </c>
      <c r="C19" s="23" t="n">
        <v>200</v>
      </c>
      <c r="D19" s="24" t="s">
        <v>40</v>
      </c>
      <c r="E19" s="24" t="s">
        <v>41</v>
      </c>
      <c r="F19" s="24" t="n">
        <v>1</v>
      </c>
      <c r="G19" s="24" t="n">
        <v>0</v>
      </c>
      <c r="H19" s="25" t="n">
        <f aca="false">$C19*IF($D19="$",Hypothèses!$B$6,1)*$F19*IF($E19="Mensuel",Hypothèses!$B$4,IF($E19="Annuel",ROUNDUP(Hypothèses!$B$4/12,0),1))</f>
        <v>200</v>
      </c>
      <c r="I19" s="25" t="n">
        <f aca="false">$C19*IF($D19="$",Hypothèses!$B$6,1)*$G19*IF($E19="Mensuel",Hypothèses!$B$5,IF($E19="Annuel",ROUNDUP(Hypothèses!$B$5/12,0),1))</f>
        <v>0</v>
      </c>
      <c r="J19" s="25" t="n">
        <f aca="false">H19+I19</f>
        <v>200</v>
      </c>
      <c r="K19" s="26" t="s">
        <v>72</v>
      </c>
    </row>
    <row r="20" customFormat="false" ht="15" hidden="false" customHeight="false" outlineLevel="0" collapsed="false">
      <c r="A20" s="21" t="s">
        <v>8</v>
      </c>
      <c r="B20" s="22" t="s">
        <v>73</v>
      </c>
      <c r="C20" s="23" t="n">
        <v>200</v>
      </c>
      <c r="D20" s="24" t="s">
        <v>40</v>
      </c>
      <c r="E20" s="24" t="s">
        <v>41</v>
      </c>
      <c r="F20" s="24" t="n">
        <v>0</v>
      </c>
      <c r="G20" s="24" t="n">
        <v>1</v>
      </c>
      <c r="H20" s="25" t="n">
        <f aca="false">$C20*IF($D20="$",Hypothèses!$B$6,1)*$F20*IF($E20="Mensuel",Hypothèses!$B$4,IF($E20="Annuel",ROUNDUP(Hypothèses!$B$4/12,0),1))</f>
        <v>0</v>
      </c>
      <c r="I20" s="25" t="n">
        <f aca="false">$C20*IF($D20="$",Hypothèses!$B$6,1)*$G20*IF($E20="Mensuel",Hypothèses!$B$5,IF($E20="Annuel",ROUNDUP(Hypothèses!$B$5/12,0),1))</f>
        <v>200</v>
      </c>
      <c r="J20" s="25" t="n">
        <f aca="false">H20+I20</f>
        <v>200</v>
      </c>
      <c r="K20" s="26" t="s">
        <v>74</v>
      </c>
    </row>
    <row r="21" customFormat="false" ht="15" hidden="false" customHeight="false" outlineLevel="0" collapsed="false">
      <c r="A21" s="19" t="s">
        <v>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customFormat="false" ht="15" hidden="false" customHeight="false" outlineLevel="0" collapsed="false">
      <c r="A22" s="21" t="s">
        <v>9</v>
      </c>
      <c r="B22" s="22" t="s">
        <v>75</v>
      </c>
      <c r="C22" s="23" t="n">
        <v>25</v>
      </c>
      <c r="D22" s="24" t="s">
        <v>57</v>
      </c>
      <c r="E22" s="24" t="s">
        <v>50</v>
      </c>
      <c r="F22" s="24" t="n">
        <v>0</v>
      </c>
      <c r="G22" s="24" t="n">
        <v>1</v>
      </c>
      <c r="H22" s="25" t="n">
        <f aca="false">$C22*IF($D22="$",Hypothèses!$B$6,1)*$F22*IF($E22="Mensuel",Hypothèses!$B$4,IF($E22="Annuel",ROUNDUP(Hypothèses!$B$4/12,0),1))</f>
        <v>0</v>
      </c>
      <c r="I22" s="25" t="n">
        <f aca="false">$C22*IF($D22="$",Hypothèses!$B$6,1)*$G22*IF($E22="Mensuel",Hypothèses!$B$5,IF($E22="Annuel",ROUNDUP(Hypothèses!$B$5/12,0),1))</f>
        <v>258</v>
      </c>
      <c r="J22" s="25" t="n">
        <f aca="false">H22+I22</f>
        <v>258</v>
      </c>
      <c r="K22" s="26" t="s">
        <v>76</v>
      </c>
    </row>
    <row r="23" customFormat="false" ht="15" hidden="false" customHeight="false" outlineLevel="0" collapsed="false">
      <c r="A23" s="21" t="s">
        <v>9</v>
      </c>
      <c r="B23" s="22" t="s">
        <v>77</v>
      </c>
      <c r="C23" s="23" t="n">
        <v>10</v>
      </c>
      <c r="D23" s="24" t="s">
        <v>40</v>
      </c>
      <c r="E23" s="24" t="s">
        <v>50</v>
      </c>
      <c r="F23" s="24" t="n">
        <v>0</v>
      </c>
      <c r="G23" s="24" t="n">
        <v>1</v>
      </c>
      <c r="H23" s="25" t="n">
        <f aca="false">$C23*IF($D23="$",Hypothèses!$B$6,1)*$F23*IF($E23="Mensuel",Hypothèses!$B$4,IF($E23="Annuel",ROUNDUP(Hypothèses!$B$4/12,0),1))</f>
        <v>0</v>
      </c>
      <c r="I23" s="25" t="n">
        <f aca="false">$C23*IF($D23="$",Hypothèses!$B$6,1)*$G23*IF($E23="Mensuel",Hypothèses!$B$5,IF($E23="Annuel",ROUNDUP(Hypothèses!$B$5/12,0),1))</f>
        <v>120</v>
      </c>
      <c r="J23" s="25" t="n">
        <f aca="false">H23+I23</f>
        <v>120</v>
      </c>
      <c r="K23" s="26" t="s">
        <v>78</v>
      </c>
    </row>
    <row r="24" customFormat="false" ht="15" hidden="false" customHeight="false" outlineLevel="0" collapsed="false">
      <c r="A24" s="21" t="s">
        <v>9</v>
      </c>
      <c r="B24" s="22" t="s">
        <v>79</v>
      </c>
      <c r="C24" s="23" t="n">
        <v>50</v>
      </c>
      <c r="D24" s="24" t="s">
        <v>40</v>
      </c>
      <c r="E24" s="24" t="s">
        <v>50</v>
      </c>
      <c r="F24" s="24" t="n">
        <v>1</v>
      </c>
      <c r="G24" s="24" t="n">
        <v>0</v>
      </c>
      <c r="H24" s="25" t="n">
        <f aca="false">$C24*IF($D24="$",Hypothèses!$B$6,1)*$F24*IF($E24="Mensuel",Hypothèses!$B$4,IF($E24="Annuel",ROUNDUP(Hypothèses!$B$4/12,0),1))</f>
        <v>300</v>
      </c>
      <c r="I24" s="25" t="n">
        <f aca="false">$C24*IF($D24="$",Hypothèses!$B$6,1)*$G24*IF($E24="Mensuel",Hypothèses!$B$5,IF($E24="Annuel",ROUNDUP(Hypothèses!$B$5/12,0),1))</f>
        <v>0</v>
      </c>
      <c r="J24" s="25" t="n">
        <f aca="false">H24+I24</f>
        <v>300</v>
      </c>
      <c r="K24" s="26" t="s">
        <v>80</v>
      </c>
    </row>
    <row r="25" customFormat="false" ht="15" hidden="false" customHeight="false" outlineLevel="0" collapsed="false">
      <c r="A25" s="21" t="s">
        <v>9</v>
      </c>
      <c r="B25" s="22" t="s">
        <v>81</v>
      </c>
      <c r="C25" s="23" t="n">
        <v>300</v>
      </c>
      <c r="D25" s="24" t="s">
        <v>40</v>
      </c>
      <c r="E25" s="24" t="s">
        <v>50</v>
      </c>
      <c r="F25" s="24" t="n">
        <v>0</v>
      </c>
      <c r="G25" s="24" t="n">
        <v>1</v>
      </c>
      <c r="H25" s="25" t="n">
        <f aca="false">$C25*IF($D25="$",Hypothèses!$B$6,1)*$F25*IF($E25="Mensuel",Hypothèses!$B$4,IF($E25="Annuel",ROUNDUP(Hypothèses!$B$4/12,0),1))</f>
        <v>0</v>
      </c>
      <c r="I25" s="25" t="n">
        <f aca="false">$C25*IF($D25="$",Hypothèses!$B$6,1)*$G25*IF($E25="Mensuel",Hypothèses!$B$5,IF($E25="Annuel",ROUNDUP(Hypothèses!$B$5/12,0),1))</f>
        <v>3600</v>
      </c>
      <c r="J25" s="25" t="n">
        <f aca="false">H25+I25</f>
        <v>3600</v>
      </c>
      <c r="K25" s="26" t="s">
        <v>82</v>
      </c>
    </row>
    <row r="26" customFormat="false" ht="15" hidden="false" customHeight="false" outlineLevel="0" collapsed="false">
      <c r="A26" s="21" t="s">
        <v>9</v>
      </c>
      <c r="B26" s="22" t="s">
        <v>83</v>
      </c>
      <c r="C26" s="23" t="n">
        <v>19</v>
      </c>
      <c r="D26" s="24" t="s">
        <v>57</v>
      </c>
      <c r="E26" s="24" t="s">
        <v>50</v>
      </c>
      <c r="F26" s="24" t="n">
        <v>1</v>
      </c>
      <c r="G26" s="24" t="n">
        <v>1</v>
      </c>
      <c r="H26" s="25" t="n">
        <f aca="false">$C26*IF($D26="$",Hypothèses!$B$6,1)*$F26*IF($E26="Mensuel",Hypothèses!$B$4,IF($E26="Annuel",ROUNDUP(Hypothèses!$B$4/12,0),1))</f>
        <v>98.04</v>
      </c>
      <c r="I26" s="25" t="n">
        <f aca="false">$C26*IF($D26="$",Hypothèses!$B$6,1)*$G26*IF($E26="Mensuel",Hypothèses!$B$5,IF($E26="Annuel",ROUNDUP(Hypothèses!$B$5/12,0),1))</f>
        <v>196.08</v>
      </c>
      <c r="J26" s="25" t="n">
        <f aca="false">H26+I26</f>
        <v>294.12</v>
      </c>
      <c r="K26" s="26" t="s">
        <v>84</v>
      </c>
    </row>
    <row r="27" customFormat="false" ht="15" hidden="false" customHeight="false" outlineLevel="0" collapsed="false">
      <c r="A27" s="21" t="s">
        <v>9</v>
      </c>
      <c r="B27" s="22" t="s">
        <v>85</v>
      </c>
      <c r="C27" s="23" t="n">
        <v>26</v>
      </c>
      <c r="D27" s="24" t="s">
        <v>57</v>
      </c>
      <c r="E27" s="24" t="s">
        <v>50</v>
      </c>
      <c r="F27" s="24" t="n">
        <v>0</v>
      </c>
      <c r="G27" s="24" t="n">
        <v>1</v>
      </c>
      <c r="H27" s="25" t="n">
        <f aca="false">$C27*IF($D27="$",Hypothèses!$B$6,1)*$F27*IF($E27="Mensuel",Hypothèses!$B$4,IF($E27="Annuel",ROUNDUP(Hypothèses!$B$4/12,0),1))</f>
        <v>0</v>
      </c>
      <c r="I27" s="25" t="n">
        <f aca="false">$C27*IF($D27="$",Hypothèses!$B$6,1)*$G27*IF($E27="Mensuel",Hypothèses!$B$5,IF($E27="Annuel",ROUNDUP(Hypothèses!$B$5/12,0),1))</f>
        <v>268.32</v>
      </c>
      <c r="J27" s="25" t="n">
        <f aca="false">H27+I27</f>
        <v>268.32</v>
      </c>
      <c r="K27" s="26" t="s">
        <v>86</v>
      </c>
    </row>
    <row r="28" customFormat="false" ht="15" hidden="false" customHeight="false" outlineLevel="0" collapsed="false">
      <c r="A28" s="21" t="s">
        <v>9</v>
      </c>
      <c r="B28" s="22" t="s">
        <v>87</v>
      </c>
      <c r="C28" s="23" t="n">
        <v>0</v>
      </c>
      <c r="D28" s="24" t="s">
        <v>57</v>
      </c>
      <c r="E28" s="24" t="s">
        <v>50</v>
      </c>
      <c r="F28" s="24" t="n">
        <v>1</v>
      </c>
      <c r="G28" s="24" t="n">
        <v>1</v>
      </c>
      <c r="H28" s="25" t="n">
        <f aca="false">$C28*IF($D28="$",Hypothèses!$B$6,1)*$F28*IF($E28="Mensuel",Hypothèses!$B$4,IF($E28="Annuel",ROUNDUP(Hypothèses!$B$4/12,0),1))</f>
        <v>0</v>
      </c>
      <c r="I28" s="25" t="n">
        <f aca="false">$C28*IF($D28="$",Hypothèses!$B$6,1)*$G28*IF($E28="Mensuel",Hypothèses!$B$5,IF($E28="Annuel",ROUNDUP(Hypothèses!$B$5/12,0),1))</f>
        <v>0</v>
      </c>
      <c r="J28" s="25" t="n">
        <f aca="false">H28+I28</f>
        <v>0</v>
      </c>
      <c r="K28" s="26" t="s">
        <v>88</v>
      </c>
    </row>
    <row r="29" customFormat="false" ht="15" hidden="false" customHeight="false" outlineLevel="0" collapsed="false">
      <c r="A29" s="21" t="s">
        <v>9</v>
      </c>
      <c r="B29" s="22" t="s">
        <v>89</v>
      </c>
      <c r="C29" s="23" t="n">
        <v>100</v>
      </c>
      <c r="D29" s="24" t="s">
        <v>40</v>
      </c>
      <c r="E29" s="24" t="s">
        <v>41</v>
      </c>
      <c r="F29" s="24" t="n">
        <v>1</v>
      </c>
      <c r="G29" s="24" t="n">
        <v>0</v>
      </c>
      <c r="H29" s="25" t="n">
        <f aca="false">$C29*IF($D29="$",Hypothèses!$B$6,1)*$F29*IF($E29="Mensuel",Hypothèses!$B$4,IF($E29="Annuel",ROUNDUP(Hypothèses!$B$4/12,0),1))</f>
        <v>100</v>
      </c>
      <c r="I29" s="25" t="n">
        <f aca="false">$C29*IF($D29="$",Hypothèses!$B$6,1)*$G29*IF($E29="Mensuel",Hypothèses!$B$5,IF($E29="Annuel",ROUNDUP(Hypothèses!$B$5/12,0),1))</f>
        <v>0</v>
      </c>
      <c r="J29" s="25" t="n">
        <f aca="false">H29+I29</f>
        <v>100</v>
      </c>
      <c r="K29" s="26" t="s">
        <v>90</v>
      </c>
    </row>
    <row r="30" customFormat="false" ht="15" hidden="false" customHeight="false" outlineLevel="0" collapsed="false">
      <c r="A30" s="21" t="s">
        <v>9</v>
      </c>
      <c r="B30" s="22" t="s">
        <v>91</v>
      </c>
      <c r="C30" s="23" t="n">
        <v>15</v>
      </c>
      <c r="D30" s="24" t="s">
        <v>40</v>
      </c>
      <c r="E30" s="24" t="s">
        <v>50</v>
      </c>
      <c r="F30" s="24" t="n">
        <v>1</v>
      </c>
      <c r="G30" s="24" t="n">
        <v>1</v>
      </c>
      <c r="H30" s="25" t="n">
        <f aca="false">$C30*IF($D30="$",Hypothèses!$B$6,1)*$F30*IF($E30="Mensuel",Hypothèses!$B$4,IF($E30="Annuel",ROUNDUP(Hypothèses!$B$4/12,0),1))</f>
        <v>90</v>
      </c>
      <c r="I30" s="25" t="n">
        <f aca="false">$C30*IF($D30="$",Hypothèses!$B$6,1)*$G30*IF($E30="Mensuel",Hypothèses!$B$5,IF($E30="Annuel",ROUNDUP(Hypothèses!$B$5/12,0),1))</f>
        <v>180</v>
      </c>
      <c r="J30" s="25" t="n">
        <f aca="false">H30+I30</f>
        <v>270</v>
      </c>
      <c r="K30" s="26" t="s">
        <v>92</v>
      </c>
    </row>
    <row r="31" customFormat="false" ht="15" hidden="false" customHeight="false" outlineLevel="0" collapsed="false">
      <c r="A31" s="19" t="s">
        <v>10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customFormat="false" ht="15" hidden="false" customHeight="false" outlineLevel="0" collapsed="false">
      <c r="A32" s="21" t="s">
        <v>10</v>
      </c>
      <c r="B32" s="22" t="s">
        <v>93</v>
      </c>
      <c r="C32" s="23" t="n">
        <v>300</v>
      </c>
      <c r="D32" s="24" t="s">
        <v>40</v>
      </c>
      <c r="E32" s="24" t="s">
        <v>41</v>
      </c>
      <c r="F32" s="24" t="n">
        <v>1</v>
      </c>
      <c r="G32" s="24" t="n">
        <v>0</v>
      </c>
      <c r="H32" s="25" t="n">
        <f aca="false">$C32*IF($D32="$",Hypothèses!$B$6,1)*$F32*IF($E32="Mensuel",Hypothèses!$B$4,IF($E32="Annuel",ROUNDUP(Hypothèses!$B$4/12,0),1))</f>
        <v>300</v>
      </c>
      <c r="I32" s="25" t="n">
        <f aca="false">$C32*IF($D32="$",Hypothèses!$B$6,1)*$G32*IF($E32="Mensuel",Hypothèses!$B$5,IF($E32="Annuel",ROUNDUP(Hypothèses!$B$5/12,0),1))</f>
        <v>0</v>
      </c>
      <c r="J32" s="25" t="n">
        <f aca="false">H32+I32</f>
        <v>300</v>
      </c>
      <c r="K32" s="26" t="s">
        <v>69</v>
      </c>
    </row>
    <row r="33" customFormat="false" ht="15" hidden="false" customHeight="false" outlineLevel="0" collapsed="false">
      <c r="A33" s="21" t="s">
        <v>10</v>
      </c>
      <c r="B33" s="22" t="s">
        <v>94</v>
      </c>
      <c r="C33" s="23" t="n">
        <v>250</v>
      </c>
      <c r="D33" s="24" t="s">
        <v>40</v>
      </c>
      <c r="E33" s="24" t="s">
        <v>41</v>
      </c>
      <c r="F33" s="24" t="n">
        <v>0</v>
      </c>
      <c r="G33" s="24" t="n">
        <v>2</v>
      </c>
      <c r="H33" s="25" t="n">
        <f aca="false">$C33*IF($D33="$",Hypothèses!$B$6,1)*$F33*IF($E33="Mensuel",Hypothèses!$B$4,IF($E33="Annuel",ROUNDUP(Hypothèses!$B$4/12,0),1))</f>
        <v>0</v>
      </c>
      <c r="I33" s="25" t="n">
        <f aca="false">$C33*IF($D33="$",Hypothèses!$B$6,1)*$G33*IF($E33="Mensuel",Hypothèses!$B$5,IF($E33="Annuel",ROUNDUP(Hypothèses!$B$5/12,0),1))</f>
        <v>500</v>
      </c>
      <c r="J33" s="25" t="n">
        <f aca="false">H33+I33</f>
        <v>500</v>
      </c>
      <c r="K33" s="26" t="s">
        <v>95</v>
      </c>
    </row>
    <row r="34" customFormat="false" ht="15" hidden="false" customHeight="false" outlineLevel="0" collapsed="false">
      <c r="A34" s="19" t="s">
        <v>11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customFormat="false" ht="15" hidden="false" customHeight="false" outlineLevel="0" collapsed="false">
      <c r="A35" s="21" t="s">
        <v>11</v>
      </c>
      <c r="B35" s="22" t="s">
        <v>96</v>
      </c>
      <c r="C35" s="23" t="n">
        <v>20</v>
      </c>
      <c r="D35" s="24" t="s">
        <v>40</v>
      </c>
      <c r="E35" s="24" t="s">
        <v>41</v>
      </c>
      <c r="F35" s="24" t="n">
        <v>15</v>
      </c>
      <c r="G35" s="24" t="n">
        <v>10</v>
      </c>
      <c r="H35" s="25" t="n">
        <f aca="false">$C35*IF($D35="$",Hypothèses!$B$6,1)*$F35*IF($E35="Mensuel",Hypothèses!$B$4,IF($E35="Annuel",ROUNDUP(Hypothèses!$B$4/12,0),1))</f>
        <v>300</v>
      </c>
      <c r="I35" s="25" t="n">
        <f aca="false">$C35*IF($D35="$",Hypothèses!$B$6,1)*$G35*IF($E35="Mensuel",Hypothèses!$B$5,IF($E35="Annuel",ROUNDUP(Hypothèses!$B$5/12,0),1))</f>
        <v>200</v>
      </c>
      <c r="J35" s="25" t="n">
        <f aca="false">H35+I35</f>
        <v>500</v>
      </c>
      <c r="K35" s="26" t="s">
        <v>97</v>
      </c>
    </row>
    <row r="36" customFormat="false" ht="15" hidden="false" customHeight="false" outlineLevel="0" collapsed="false">
      <c r="A36" s="19" t="s">
        <v>12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customFormat="false" ht="15" hidden="false" customHeight="false" outlineLevel="0" collapsed="false">
      <c r="A37" s="21" t="s">
        <v>12</v>
      </c>
      <c r="B37" s="22" t="s">
        <v>98</v>
      </c>
      <c r="C37" s="23" t="n">
        <v>15</v>
      </c>
      <c r="D37" s="24" t="s">
        <v>40</v>
      </c>
      <c r="E37" s="24" t="s">
        <v>50</v>
      </c>
      <c r="F37" s="24" t="n">
        <v>1</v>
      </c>
      <c r="G37" s="24" t="n">
        <v>1</v>
      </c>
      <c r="H37" s="25" t="n">
        <f aca="false">$C37*IF($D37="$",Hypothèses!$B$6,1)*$F37*IF($E37="Mensuel",Hypothèses!$B$4,IF($E37="Annuel",ROUNDUP(Hypothèses!$B$4/12,0),1))</f>
        <v>90</v>
      </c>
      <c r="I37" s="25" t="n">
        <f aca="false">$C37*IF($D37="$",Hypothèses!$B$6,1)*$G37*IF($E37="Mensuel",Hypothèses!$B$5,IF($E37="Annuel",ROUNDUP(Hypothèses!$B$5/12,0),1))</f>
        <v>180</v>
      </c>
      <c r="J37" s="25" t="n">
        <f aca="false">H37+I37</f>
        <v>270</v>
      </c>
      <c r="K37" s="26" t="s">
        <v>69</v>
      </c>
    </row>
    <row r="38" customFormat="false" ht="15" hidden="false" customHeight="false" outlineLevel="0" collapsed="false">
      <c r="A38" s="21" t="s">
        <v>12</v>
      </c>
      <c r="B38" s="22" t="s">
        <v>99</v>
      </c>
      <c r="C38" s="23" t="n">
        <v>300</v>
      </c>
      <c r="D38" s="24" t="s">
        <v>40</v>
      </c>
      <c r="E38" s="24" t="s">
        <v>41</v>
      </c>
      <c r="F38" s="24" t="n">
        <v>1</v>
      </c>
      <c r="G38" s="24" t="n">
        <v>0</v>
      </c>
      <c r="H38" s="25" t="n">
        <f aca="false">$C38*IF($D38="$",Hypothèses!$B$6,1)*$F38*IF($E38="Mensuel",Hypothèses!$B$4,IF($E38="Annuel",ROUNDUP(Hypothèses!$B$4/12,0),1))</f>
        <v>300</v>
      </c>
      <c r="I38" s="25" t="n">
        <f aca="false">$C38*IF($D38="$",Hypothèses!$B$6,1)*$G38*IF($E38="Mensuel",Hypothèses!$B$5,IF($E38="Annuel",ROUNDUP(Hypothèses!$B$5/12,0),1))</f>
        <v>0</v>
      </c>
      <c r="J38" s="25" t="n">
        <f aca="false">H38+I38</f>
        <v>300</v>
      </c>
      <c r="K38" s="26" t="s">
        <v>100</v>
      </c>
    </row>
    <row r="39" customFormat="false" ht="15" hidden="false" customHeight="false" outlineLevel="0" collapsed="false">
      <c r="A39" s="21" t="s">
        <v>12</v>
      </c>
      <c r="B39" s="22" t="s">
        <v>101</v>
      </c>
      <c r="C39" s="23" t="n">
        <v>500</v>
      </c>
      <c r="D39" s="24" t="s">
        <v>40</v>
      </c>
      <c r="E39" s="24" t="s">
        <v>50</v>
      </c>
      <c r="F39" s="24" t="n">
        <v>0</v>
      </c>
      <c r="G39" s="24" t="n">
        <v>1</v>
      </c>
      <c r="H39" s="25" t="n">
        <f aca="false">$C39*IF($D39="$",Hypothèses!$B$6,1)*$F39*IF($E39="Mensuel",Hypothèses!$B$4,IF($E39="Annuel",ROUNDUP(Hypothèses!$B$4/12,0),1))</f>
        <v>0</v>
      </c>
      <c r="I39" s="25" t="n">
        <f aca="false">$C39*IF($D39="$",Hypothèses!$B$6,1)*$G39*IF($E39="Mensuel",Hypothèses!$B$5,IF($E39="Annuel",ROUNDUP(Hypothèses!$B$5/12,0),1))</f>
        <v>6000</v>
      </c>
      <c r="J39" s="25" t="n">
        <f aca="false">H39+I39</f>
        <v>6000</v>
      </c>
      <c r="K39" s="26" t="s">
        <v>102</v>
      </c>
    </row>
    <row r="40" customFormat="false" ht="15" hidden="false" customHeight="false" outlineLevel="0" collapsed="false">
      <c r="A40" s="21" t="s">
        <v>12</v>
      </c>
      <c r="B40" s="22" t="s">
        <v>103</v>
      </c>
      <c r="C40" s="23" t="n">
        <v>200</v>
      </c>
      <c r="D40" s="24" t="s">
        <v>40</v>
      </c>
      <c r="E40" s="24" t="s">
        <v>41</v>
      </c>
      <c r="F40" s="24" t="n">
        <v>0</v>
      </c>
      <c r="G40" s="24" t="n">
        <v>1</v>
      </c>
      <c r="H40" s="25" t="n">
        <f aca="false">$C40*IF($D40="$",Hypothèses!$B$6,1)*$F40*IF($E40="Mensuel",Hypothèses!$B$4,IF($E40="Annuel",ROUNDUP(Hypothèses!$B$4/12,0),1))</f>
        <v>0</v>
      </c>
      <c r="I40" s="25" t="n">
        <f aca="false">$C40*IF($D40="$",Hypothèses!$B$6,1)*$G40*IF($E40="Mensuel",Hypothèses!$B$5,IF($E40="Annuel",ROUNDUP(Hypothèses!$B$5/12,0),1))</f>
        <v>200</v>
      </c>
      <c r="J40" s="25" t="n">
        <f aca="false">H40+I40</f>
        <v>200</v>
      </c>
      <c r="K40" s="26" t="s">
        <v>104</v>
      </c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7"/>
      <c r="B42" s="28" t="s">
        <v>105</v>
      </c>
      <c r="C42" s="27"/>
      <c r="D42" s="27"/>
      <c r="E42" s="27"/>
      <c r="F42" s="27"/>
      <c r="G42" s="27"/>
      <c r="H42" s="29" t="n">
        <f aca="false">SUM(H2:H40)</f>
        <v>5363.68</v>
      </c>
      <c r="I42" s="29" t="n">
        <f aca="false">SUM(I2:I40)</f>
        <v>13490.54</v>
      </c>
      <c r="J42" s="29" t="n">
        <f aca="false">SUM(J2:J40)</f>
        <v>18854.22</v>
      </c>
      <c r="K42" s="27"/>
    </row>
    <row r="43" customFormat="false" ht="15" hidden="false" customHeight="false" outlineLevel="0" collapsed="false">
      <c r="A43" s="27"/>
      <c r="B43" s="28" t="s">
        <v>13</v>
      </c>
      <c r="C43" s="27"/>
      <c r="D43" s="27"/>
      <c r="E43" s="27"/>
      <c r="F43" s="27"/>
      <c r="G43" s="27"/>
      <c r="H43" s="30" t="n">
        <f aca="false">H42*Hypothèses!$B$7</f>
        <v>536.368</v>
      </c>
      <c r="I43" s="30" t="n">
        <f aca="false">I42*Hypothèses!$B$7</f>
        <v>1349.054</v>
      </c>
      <c r="J43" s="30" t="n">
        <f aca="false">J42*Hypothèses!$B$7</f>
        <v>1885.422</v>
      </c>
      <c r="K43" s="27"/>
    </row>
    <row r="44" customFormat="false" ht="15" hidden="false" customHeight="false" outlineLevel="0" collapsed="false">
      <c r="A44" s="27"/>
      <c r="B44" s="9" t="s">
        <v>14</v>
      </c>
      <c r="C44" s="27"/>
      <c r="D44" s="27"/>
      <c r="E44" s="27"/>
      <c r="F44" s="27"/>
      <c r="G44" s="27"/>
      <c r="H44" s="10" t="n">
        <f aca="false">H42+H43</f>
        <v>5900.048</v>
      </c>
      <c r="I44" s="10" t="n">
        <f aca="false">I42+I43</f>
        <v>14839.594</v>
      </c>
      <c r="J44" s="10" t="n">
        <f aca="false">J42+J43</f>
        <v>20739.642</v>
      </c>
      <c r="K44" s="27"/>
    </row>
  </sheetData>
  <dataValidations count="2">
    <dataValidation allowBlank="false" errorStyle="stop" operator="between" showDropDown="false" showErrorMessage="false" showInputMessage="false" sqref="E2:E40" type="list">
      <formula1>"Unique,Mensuel,Annuel"</formula1>
      <formula2>0</formula2>
    </dataValidation>
    <dataValidation allowBlank="false" errorStyle="stop" operator="between" showDropDown="false" showErrorMessage="false" showInputMessage="false" sqref="D2:D40" type="list">
      <formula1>"€,$"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2026-10-22T10:07:28Z</dcterms:created>
  <dc:creator>openpyxl</dc:creator>
  <dc:description/>
  <dc:language>en-US</dc:language>
  <cp:lastModifiedBy/>
  <dcterms:modified xsi:type="dcterms:W3CDTF">2026-10-22T10:07:28Z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